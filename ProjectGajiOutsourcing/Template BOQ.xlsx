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ellakhairunnisa/Documents/Projek 2 KP/"/>
    </mc:Choice>
  </mc:AlternateContent>
  <xr:revisionPtr revIDLastSave="0" documentId="8_{E84CCC91-1D83-C74F-8E79-E1EE47CC3458}" xr6:coauthVersionLast="47" xr6:coauthVersionMax="47" xr10:uidLastSave="{00000000-0000-0000-0000-000000000000}"/>
  <bookViews>
    <workbookView xWindow="0" yWindow="0" windowWidth="33600" windowHeight="21000" xr2:uid="{853C7A36-8054-1541-BC11-0D20C9B28E82}"/>
  </bookViews>
  <sheets>
    <sheet name="Template BOQ" sheetId="1" r:id="rId1"/>
  </sheets>
  <externalReferences>
    <externalReference r:id="rId2"/>
  </externalReferences>
  <definedNames>
    <definedName name="_xlcn.WorksheetConnection_MasterData_230625.xlsxTable11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H21" i="1"/>
  <c r="H23" i="1" s="1"/>
  <c r="G21" i="1"/>
  <c r="G23" i="1" s="1"/>
  <c r="G28" i="1" s="1"/>
  <c r="H18" i="1"/>
  <c r="G18" i="1"/>
  <c r="J18" i="1" s="1"/>
  <c r="H17" i="1"/>
  <c r="G17" i="1"/>
  <c r="H16" i="1"/>
  <c r="H19" i="1" s="1"/>
  <c r="G16" i="1"/>
  <c r="G19" i="1" s="1"/>
  <c r="G25" i="1" s="1"/>
  <c r="G29" i="1" l="1"/>
  <c r="G30" i="1"/>
  <c r="G26" i="1"/>
  <c r="G27" i="1" s="1"/>
  <c r="G31" i="1" s="1"/>
  <c r="G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TRISNA YOLANDA</author>
  </authors>
  <commentList>
    <comment ref="E13" authorId="0" shapeId="0" xr:uid="{13E49380-480B-B149-995A-61847518F86C}">
      <text>
        <r>
          <rPr>
            <b/>
            <sz val="9"/>
            <color indexed="81"/>
            <rFont val="Tahoma"/>
            <family val="2"/>
          </rPr>
          <t>TRISNA YOLANDA:</t>
        </r>
        <r>
          <rPr>
            <sz val="9"/>
            <color indexed="81"/>
            <rFont val="Tahoma"/>
            <family val="2"/>
          </rPr>
          <t xml:space="preserve">
rata2 tunj. Tdk tetap per vendor</t>
        </r>
      </text>
    </comment>
  </commentList>
</comments>
</file>

<file path=xl/sharedStrings.xml><?xml version="1.0" encoding="utf-8"?>
<sst xmlns="http://schemas.openxmlformats.org/spreadsheetml/2006/main" count="68" uniqueCount="60">
  <si>
    <t>BOQ Jasa Pekerjaan Penunjang Operasional di PT Semen Padang (2026)</t>
  </si>
  <si>
    <t xml:space="preserve">Vendor                          </t>
  </si>
  <si>
    <t>:</t>
  </si>
  <si>
    <t xml:space="preserve">Jumlah Pekerja Alih Daya      </t>
  </si>
  <si>
    <t xml:space="preserve">Jangka Waktu Kontrak   </t>
  </si>
  <si>
    <t>Pekerjaan POS (Paket ............)</t>
  </si>
  <si>
    <t>KOMPONEN UPAH</t>
  </si>
  <si>
    <t>Pengawas</t>
  </si>
  <si>
    <t>Pelaksana</t>
  </si>
  <si>
    <t>I.</t>
  </si>
  <si>
    <t>UPAH PEKERJA ALIH DAYA</t>
  </si>
  <si>
    <t>a.</t>
  </si>
  <si>
    <t>Upah Pokok</t>
  </si>
  <si>
    <t>b.</t>
  </si>
  <si>
    <t>Tunjangan Tetap</t>
  </si>
  <si>
    <t>c.</t>
  </si>
  <si>
    <t>Tunjangan Tidak Tetap</t>
  </si>
  <si>
    <t xml:space="preserve">d. </t>
  </si>
  <si>
    <t>Tunjangan Lokasi (*diluar Padang)</t>
  </si>
  <si>
    <t>II.</t>
  </si>
  <si>
    <t>UPAH NORMATIF (Sesuai UU)</t>
  </si>
  <si>
    <t>BPJS Kesehatan</t>
  </si>
  <si>
    <t>BPJS Ketenagakerjaan</t>
  </si>
  <si>
    <t>III.</t>
  </si>
  <si>
    <t>UANG KOMPENSASI (Sesuai PP No 35 Th 2021)</t>
  </si>
  <si>
    <t xml:space="preserve">Nilai Kontrak 1 orang Pekerja Alih Daya perbulan  </t>
  </si>
  <si>
    <t>IV.</t>
  </si>
  <si>
    <t>PEKERJAAN TAMBAH LEMBUR (Sesuai UU)</t>
  </si>
  <si>
    <t>Tarif Lembur perjam</t>
  </si>
  <si>
    <t>Alokasi Jam Lembur ..... jam real, ..... jam perkalian
(Pembayaran sesuai realisasi)</t>
  </si>
  <si>
    <t xml:space="preserve">Nilai Lembur 1 orang Pekerja Alih Daya perbulan  </t>
  </si>
  <si>
    <t xml:space="preserve">Jumlah Pekerja Alih Daya (sesuai Kontrak)               </t>
  </si>
  <si>
    <t xml:space="preserve">Nilai Kontrak Pekerja Alih Daya 1 bulan  </t>
  </si>
  <si>
    <t xml:space="preserve">Nilai Fee Kontrak Pekerja Alih Daya 1 bulan (............)   </t>
  </si>
  <si>
    <t xml:space="preserve">Total Nilai Kontrak Pekerja Alih Daya 1 bulan  </t>
  </si>
  <si>
    <t xml:space="preserve">Nilai Lembur 1 bulan  </t>
  </si>
  <si>
    <t xml:space="preserve">Nilai Fee Lembur 1 bulan (.........)  </t>
  </si>
  <si>
    <t xml:space="preserve">Total Nilai Lembur Pekerja Alih Daya 1 bulan  </t>
  </si>
  <si>
    <t xml:space="preserve">Total Nilai 1 bulan  </t>
  </si>
  <si>
    <t xml:space="preserve">Total Nilai 36 bulan  </t>
  </si>
  <si>
    <t>*) Nilai tersebut akan disesuaikan apabila ada kenaikan UMP/UMK/UMR</t>
  </si>
  <si>
    <t>*) Nilai tersebut belum termasuk ppn</t>
  </si>
  <si>
    <t>*) Nilai Fee sudah termasuk Pajak Penghasilan (PPH)</t>
  </si>
  <si>
    <t>Apabila terdapat pekerjaan tambah sesuai ketentuan PPK dan Perjanjian, maka:</t>
  </si>
  <si>
    <t>No.</t>
  </si>
  <si>
    <t>Komponen</t>
  </si>
  <si>
    <t>Nilai Rupiah</t>
  </si>
  <si>
    <t>Keterangan</t>
  </si>
  <si>
    <t>Biaya Perjalanan Dinas</t>
  </si>
  <si>
    <t>• Nilai sesuai realisasi biaya yang dikeluarkan, yang disetujui unit kerja dan SDM</t>
  </si>
  <si>
    <t>Biaya Tugas Belajar</t>
  </si>
  <si>
    <t>dll</t>
  </si>
  <si>
    <t xml:space="preserve">Total   </t>
  </si>
  <si>
    <t xml:space="preserve">Fee Pekerjaan Tambah  </t>
  </si>
  <si>
    <t xml:space="preserve">• Nilai ini sudah termasuk pajak penghasilan (PPH)
</t>
  </si>
  <si>
    <t xml:space="preserve">Total Pekerjaan Tambah   </t>
  </si>
  <si>
    <t>Padang, ....................................... 202</t>
  </si>
  <si>
    <t>PT .........................................................</t>
  </si>
  <si>
    <t>.                                           .</t>
  </si>
  <si>
    <t>Direktur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</si>
</sst>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_);_(* \(#,##0\);_(* &quot;-&quot;_);_(@_)"/>
  </numFmts>
  <fonts count="9" x14ac:knownFonts="1">
    <font>
      <sz val="12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Times New Roman"/>
      <family val="1"/>
    </font>
    <font>
      <u/>
      <sz val="11"/>
      <color theme="1"/>
      <name val="Arial Narrow"/>
      <family val="2"/>
    </font>
    <font>
      <u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1" applyFont="1"/>
    <xf numFmtId="0" fontId="3" fillId="0" borderId="1" xfId="1" applyFont="1" applyBorder="1" applyAlignment="1">
      <alignment horizontal="left" vertical="top"/>
    </xf>
    <xf numFmtId="0" fontId="2" fillId="0" borderId="2" xfId="1" applyFont="1" applyBorder="1"/>
    <xf numFmtId="0" fontId="2" fillId="0" borderId="3" xfId="1" applyFont="1" applyBorder="1"/>
    <xf numFmtId="41" fontId="2" fillId="0" borderId="0" xfId="2" applyFont="1"/>
    <xf numFmtId="0" fontId="3" fillId="0" borderId="4" xfId="1" applyFont="1" applyBorder="1" applyAlignment="1">
      <alignment horizontal="left" vertical="top"/>
    </xf>
    <xf numFmtId="0" fontId="2" fillId="0" borderId="5" xfId="1" applyFont="1" applyBorder="1"/>
    <xf numFmtId="0" fontId="2" fillId="0" borderId="6" xfId="1" applyFont="1" applyBorder="1"/>
    <xf numFmtId="0" fontId="3" fillId="0" borderId="7" xfId="1" applyFont="1" applyBorder="1"/>
    <xf numFmtId="0" fontId="2" fillId="0" borderId="8" xfId="1" applyFont="1" applyBorder="1"/>
    <xf numFmtId="0" fontId="2" fillId="0" borderId="9" xfId="1" applyFont="1" applyBorder="1"/>
    <xf numFmtId="0" fontId="3" fillId="0" borderId="7" xfId="1" applyFont="1" applyBorder="1" applyAlignment="1">
      <alignment vertical="top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0" borderId="11" xfId="1" applyFont="1" applyBorder="1"/>
    <xf numFmtId="0" fontId="3" fillId="0" borderId="0" xfId="1" applyFont="1"/>
    <xf numFmtId="0" fontId="2" fillId="0" borderId="12" xfId="1" applyFont="1" applyBorder="1"/>
    <xf numFmtId="0" fontId="2" fillId="0" borderId="13" xfId="1" applyFont="1" applyBorder="1"/>
    <xf numFmtId="0" fontId="2" fillId="0" borderId="11" xfId="1" applyFont="1" applyBorder="1"/>
    <xf numFmtId="164" fontId="1" fillId="0" borderId="14" xfId="1" applyNumberFormat="1" applyBorder="1"/>
    <xf numFmtId="164" fontId="1" fillId="0" borderId="12" xfId="1" applyNumberFormat="1" applyBorder="1"/>
    <xf numFmtId="41" fontId="2" fillId="0" borderId="14" xfId="2" applyFont="1" applyBorder="1"/>
    <xf numFmtId="165" fontId="2" fillId="0" borderId="14" xfId="1" applyNumberFormat="1" applyFont="1" applyBorder="1"/>
    <xf numFmtId="41" fontId="2" fillId="3" borderId="14" xfId="2" applyFont="1" applyFill="1" applyBorder="1"/>
    <xf numFmtId="41" fontId="2" fillId="0" borderId="0" xfId="1" applyNumberFormat="1" applyFont="1"/>
    <xf numFmtId="0" fontId="3" fillId="0" borderId="8" xfId="1" applyFont="1" applyBorder="1"/>
    <xf numFmtId="0" fontId="3" fillId="0" borderId="9" xfId="1" applyFont="1" applyBorder="1" applyAlignment="1">
      <alignment horizontal="right"/>
    </xf>
    <xf numFmtId="41" fontId="2" fillId="3" borderId="10" xfId="2" applyFont="1" applyFill="1" applyBorder="1"/>
    <xf numFmtId="0" fontId="2" fillId="0" borderId="0" xfId="1" applyFont="1" applyAlignment="1">
      <alignment vertical="top"/>
    </xf>
    <xf numFmtId="0" fontId="2" fillId="0" borderId="5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41" fontId="2" fillId="0" borderId="14" xfId="2" applyFont="1" applyBorder="1" applyAlignment="1">
      <alignment vertical="top"/>
    </xf>
    <xf numFmtId="0" fontId="2" fillId="0" borderId="7" xfId="1" applyFont="1" applyBorder="1"/>
    <xf numFmtId="0" fontId="3" fillId="0" borderId="8" xfId="1" applyFont="1" applyBorder="1" applyAlignment="1">
      <alignment horizontal="right"/>
    </xf>
    <xf numFmtId="41" fontId="2" fillId="0" borderId="9" xfId="2" applyFont="1" applyBorder="1"/>
    <xf numFmtId="41" fontId="2" fillId="0" borderId="10" xfId="2" applyFont="1" applyBorder="1"/>
    <xf numFmtId="0" fontId="3" fillId="3" borderId="11" xfId="1" applyFont="1" applyFill="1" applyBorder="1" applyAlignment="1">
      <alignment vertical="center"/>
    </xf>
    <xf numFmtId="0" fontId="3" fillId="3" borderId="0" xfId="1" applyFont="1" applyFill="1" applyAlignment="1">
      <alignment vertical="center"/>
    </xf>
    <xf numFmtId="0" fontId="3" fillId="3" borderId="12" xfId="1" applyFont="1" applyFill="1" applyBorder="1" applyAlignment="1">
      <alignment horizontal="right" vertical="center"/>
    </xf>
    <xf numFmtId="41" fontId="2" fillId="3" borderId="4" xfId="2" applyFont="1" applyFill="1" applyBorder="1" applyAlignment="1">
      <alignment horizontal="center"/>
    </xf>
    <xf numFmtId="41" fontId="2" fillId="3" borderId="6" xfId="2" applyFont="1" applyFill="1" applyBorder="1" applyAlignment="1">
      <alignment horizontal="center"/>
    </xf>
    <xf numFmtId="0" fontId="3" fillId="3" borderId="4" xfId="1" applyFont="1" applyFill="1" applyBorder="1" applyAlignment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horizontal="right" vertical="center"/>
    </xf>
    <xf numFmtId="0" fontId="3" fillId="4" borderId="4" xfId="1" applyFont="1" applyFill="1" applyBorder="1" applyAlignment="1">
      <alignment horizontal="right" vertical="center"/>
    </xf>
    <xf numFmtId="0" fontId="3" fillId="4" borderId="5" xfId="1" applyFont="1" applyFill="1" applyBorder="1" applyAlignment="1">
      <alignment horizontal="right" vertical="center"/>
    </xf>
    <xf numFmtId="0" fontId="3" fillId="4" borderId="6" xfId="1" applyFont="1" applyFill="1" applyBorder="1" applyAlignment="1">
      <alignment horizontal="right" vertical="center"/>
    </xf>
    <xf numFmtId="41" fontId="3" fillId="4" borderId="7" xfId="2" applyFont="1" applyFill="1" applyBorder="1" applyAlignment="1">
      <alignment horizontal="center"/>
    </xf>
    <xf numFmtId="41" fontId="3" fillId="4" borderId="9" xfId="2" applyFont="1" applyFill="1" applyBorder="1" applyAlignment="1">
      <alignment horizontal="center"/>
    </xf>
    <xf numFmtId="165" fontId="2" fillId="0" borderId="0" xfId="1" applyNumberFormat="1" applyFont="1"/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right" vertical="center"/>
    </xf>
    <xf numFmtId="41" fontId="2" fillId="3" borderId="7" xfId="2" applyFont="1" applyFill="1" applyBorder="1" applyAlignment="1">
      <alignment horizontal="center"/>
    </xf>
    <xf numFmtId="41" fontId="2" fillId="3" borderId="9" xfId="2" applyFont="1" applyFill="1" applyBorder="1" applyAlignment="1">
      <alignment horizontal="center"/>
    </xf>
    <xf numFmtId="0" fontId="3" fillId="5" borderId="4" xfId="1" applyFont="1" applyFill="1" applyBorder="1" applyAlignment="1">
      <alignment horizontal="right" vertical="center"/>
    </xf>
    <xf numFmtId="0" fontId="3" fillId="5" borderId="5" xfId="1" applyFont="1" applyFill="1" applyBorder="1" applyAlignment="1">
      <alignment horizontal="right" vertical="center"/>
    </xf>
    <xf numFmtId="0" fontId="3" fillId="5" borderId="6" xfId="1" applyFont="1" applyFill="1" applyBorder="1" applyAlignment="1">
      <alignment horizontal="right" vertical="center"/>
    </xf>
    <xf numFmtId="41" fontId="3" fillId="5" borderId="7" xfId="2" applyFont="1" applyFill="1" applyBorder="1" applyAlignment="1">
      <alignment horizontal="center"/>
    </xf>
    <xf numFmtId="41" fontId="3" fillId="5" borderId="9" xfId="2" applyFont="1" applyFill="1" applyBorder="1" applyAlignment="1">
      <alignment horizontal="center"/>
    </xf>
    <xf numFmtId="0" fontId="3" fillId="5" borderId="4" xfId="1" applyFont="1" applyFill="1" applyBorder="1" applyAlignment="1">
      <alignment vertical="center"/>
    </xf>
    <xf numFmtId="0" fontId="3" fillId="5" borderId="5" xfId="1" applyFont="1" applyFill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2" xfId="1" applyFont="1" applyBorder="1" applyAlignment="1">
      <alignment vertical="center"/>
    </xf>
    <xf numFmtId="0" fontId="3" fillId="0" borderId="11" xfId="1" applyFont="1" applyBorder="1" applyAlignment="1">
      <alignment horizontal="left" vertical="top"/>
    </xf>
    <xf numFmtId="0" fontId="3" fillId="3" borderId="13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164" fontId="3" fillId="3" borderId="13" xfId="3" applyNumberFormat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164" fontId="2" fillId="0" borderId="13" xfId="3" applyNumberFormat="1" applyFont="1" applyBorder="1" applyAlignment="1">
      <alignment horizontal="left" vertical="top" wrapText="1"/>
    </xf>
    <xf numFmtId="164" fontId="2" fillId="0" borderId="0" xfId="3" applyNumberFormat="1" applyFont="1" applyFill="1" applyBorder="1" applyAlignment="1">
      <alignment vertical="top" wrapText="1"/>
    </xf>
    <xf numFmtId="0" fontId="2" fillId="0" borderId="14" xfId="1" applyFont="1" applyBorder="1" applyAlignment="1">
      <alignment horizontal="center" vertical="center"/>
    </xf>
    <xf numFmtId="164" fontId="2" fillId="0" borderId="14" xfId="3" applyNumberFormat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164" fontId="2" fillId="0" borderId="15" xfId="3" applyNumberFormat="1" applyFont="1" applyBorder="1" applyAlignment="1">
      <alignment horizontal="left" vertical="top" wrapText="1"/>
    </xf>
    <xf numFmtId="0" fontId="3" fillId="4" borderId="7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vertical="center"/>
    </xf>
    <xf numFmtId="0" fontId="3" fillId="4" borderId="8" xfId="1" applyFont="1" applyFill="1" applyBorder="1" applyAlignment="1">
      <alignment horizontal="right" vertical="center"/>
    </xf>
    <xf numFmtId="0" fontId="3" fillId="4" borderId="7" xfId="1" applyFont="1" applyFill="1" applyBorder="1" applyAlignment="1">
      <alignment horizontal="right" vertical="center"/>
    </xf>
    <xf numFmtId="0" fontId="3" fillId="0" borderId="10" xfId="1" applyFont="1" applyBorder="1" applyAlignment="1">
      <alignment horizontal="right" vertical="center"/>
    </xf>
    <xf numFmtId="164" fontId="2" fillId="0" borderId="0" xfId="3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center" vertical="top"/>
    </xf>
    <xf numFmtId="0" fontId="3" fillId="4" borderId="2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right" vertical="top"/>
    </xf>
    <xf numFmtId="0" fontId="3" fillId="4" borderId="10" xfId="1" applyFont="1" applyFill="1" applyBorder="1" applyAlignment="1">
      <alignment horizontal="right" vertical="top"/>
    </xf>
    <xf numFmtId="164" fontId="2" fillId="0" borderId="10" xfId="3" applyNumberFormat="1" applyFont="1" applyBorder="1" applyAlignment="1">
      <alignment vertical="top" wrapText="1"/>
    </xf>
    <xf numFmtId="164" fontId="2" fillId="0" borderId="0" xfId="3" applyNumberFormat="1" applyFont="1" applyFill="1" applyBorder="1" applyAlignment="1">
      <alignment vertical="top"/>
    </xf>
    <xf numFmtId="0" fontId="3" fillId="4" borderId="8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right" vertical="center"/>
    </xf>
    <xf numFmtId="0" fontId="2" fillId="0" borderId="0" xfId="1" applyFont="1" applyAlignment="1">
      <alignment horizontal="left" vertical="top"/>
    </xf>
    <xf numFmtId="164" fontId="2" fillId="0" borderId="0" xfId="3" applyNumberFormat="1" applyFont="1"/>
    <xf numFmtId="0" fontId="2" fillId="0" borderId="0" xfId="3" applyNumberFormat="1" applyFont="1" applyAlignment="1"/>
    <xf numFmtId="0" fontId="4" fillId="0" borderId="0" xfId="1" applyFont="1"/>
    <xf numFmtId="0" fontId="5" fillId="0" borderId="0" xfId="1" applyFont="1"/>
    <xf numFmtId="164" fontId="2" fillId="0" borderId="0" xfId="3" applyNumberFormat="1" applyFont="1" applyAlignment="1"/>
    <xf numFmtId="0" fontId="6" fillId="0" borderId="0" xfId="1" applyFont="1"/>
  </cellXfs>
  <cellStyles count="4">
    <cellStyle name="Comma [0] 7" xfId="2" xr:uid="{2B0A9626-638A-514B-8CC4-12845B603D37}"/>
    <cellStyle name="Comma 2 2" xfId="3" xr:uid="{50C5F5D5-F66D-BC41-8A7A-19516A770344}"/>
    <cellStyle name="Normal" xfId="0" builtinId="0"/>
    <cellStyle name="Normal 11" xfId="1" xr:uid="{9FB257EA-19C7-9F42-B6C2-9E8DD03F2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ar/folders/k6/1dghvtfn6jz00fr3_p9ff_w40000gp/T/net.whatsapp.WhatsApp/documents/D196C372-485E-4862-B331-3366446E1B88/Master%20Data_2026%20-%20Kirim.xlsx" TargetMode="External"/><Relationship Id="rId1" Type="http://schemas.openxmlformats.org/officeDocument/2006/relationships/externalLinkPath" Target="/var/folders/k6/1dghvtfn6jz00fr3_p9ff_w40000gp/T/net.whatsapp.WhatsApp/documents/D196C372-485E-4862-B331-3366446E1B88/Master%20Data_2026%20-%20Kir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26"/>
      <sheetName val="Template BOQ"/>
      <sheetName val="tabel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E148-CC61-A843-BD82-D7C95C8724CD}">
  <dimension ref="B2:WUL55"/>
  <sheetViews>
    <sheetView showGridLines="0" tabSelected="1" zoomScale="70" zoomScaleNormal="70" workbookViewId="0">
      <selection activeCell="H66" sqref="H66"/>
    </sheetView>
  </sheetViews>
  <sheetFormatPr baseColWidth="10" defaultColWidth="8.83203125" defaultRowHeight="14" x14ac:dyDescent="0.15"/>
  <cols>
    <col min="1" max="1" width="11.5" style="1" customWidth="1"/>
    <col min="2" max="2" width="2.33203125" style="1" customWidth="1"/>
    <col min="3" max="3" width="3" style="1" customWidth="1"/>
    <col min="4" max="4" width="2" style="1" customWidth="1"/>
    <col min="5" max="5" width="15.5" style="1" customWidth="1"/>
    <col min="6" max="6" width="16.33203125" style="1" customWidth="1"/>
    <col min="7" max="7" width="18" style="1" customWidth="1"/>
    <col min="8" max="8" width="19.6640625" style="1" customWidth="1"/>
    <col min="9" max="9" width="1.5" style="1" customWidth="1"/>
    <col min="10" max="10" width="7.33203125" style="1" bestFit="1" customWidth="1"/>
    <col min="11" max="214" width="8.83203125" style="1"/>
    <col min="215" max="215" width="1.5" style="1" customWidth="1"/>
    <col min="216" max="216" width="1.6640625" style="1" customWidth="1"/>
    <col min="217" max="217" width="1" style="1" customWidth="1"/>
    <col min="218" max="218" width="19.6640625" style="1" customWidth="1"/>
    <col min="219" max="219" width="27.6640625" style="1" customWidth="1"/>
    <col min="220" max="223" width="8.5" style="1" bestFit="1" customWidth="1"/>
    <col min="224" max="224" width="9.83203125" style="1" bestFit="1" customWidth="1"/>
    <col min="225" max="225" width="13.1640625" style="1" bestFit="1" customWidth="1"/>
    <col min="226" max="470" width="8.83203125" style="1"/>
    <col min="471" max="471" width="1.5" style="1" customWidth="1"/>
    <col min="472" max="472" width="1.6640625" style="1" customWidth="1"/>
    <col min="473" max="473" width="1" style="1" customWidth="1"/>
    <col min="474" max="474" width="19.6640625" style="1" customWidth="1"/>
    <col min="475" max="475" width="27.6640625" style="1" customWidth="1"/>
    <col min="476" max="479" width="8.5" style="1" bestFit="1" customWidth="1"/>
    <col min="480" max="480" width="9.83203125" style="1" bestFit="1" customWidth="1"/>
    <col min="481" max="481" width="13.1640625" style="1" bestFit="1" customWidth="1"/>
    <col min="482" max="726" width="8.83203125" style="1"/>
    <col min="727" max="727" width="1.5" style="1" customWidth="1"/>
    <col min="728" max="728" width="1.6640625" style="1" customWidth="1"/>
    <col min="729" max="729" width="1" style="1" customWidth="1"/>
    <col min="730" max="730" width="19.6640625" style="1" customWidth="1"/>
    <col min="731" max="731" width="27.6640625" style="1" customWidth="1"/>
    <col min="732" max="735" width="8.5" style="1" bestFit="1" customWidth="1"/>
    <col min="736" max="736" width="9.83203125" style="1" bestFit="1" customWidth="1"/>
    <col min="737" max="737" width="13.1640625" style="1" bestFit="1" customWidth="1"/>
    <col min="738" max="982" width="8.83203125" style="1"/>
    <col min="983" max="983" width="1.5" style="1" customWidth="1"/>
    <col min="984" max="984" width="1.6640625" style="1" customWidth="1"/>
    <col min="985" max="985" width="1" style="1" customWidth="1"/>
    <col min="986" max="986" width="19.6640625" style="1" customWidth="1"/>
    <col min="987" max="987" width="27.6640625" style="1" customWidth="1"/>
    <col min="988" max="991" width="8.5" style="1" bestFit="1" customWidth="1"/>
    <col min="992" max="992" width="9.83203125" style="1" bestFit="1" customWidth="1"/>
    <col min="993" max="993" width="13.1640625" style="1" bestFit="1" customWidth="1"/>
    <col min="994" max="1238" width="8.83203125" style="1"/>
    <col min="1239" max="1239" width="1.5" style="1" customWidth="1"/>
    <col min="1240" max="1240" width="1.6640625" style="1" customWidth="1"/>
    <col min="1241" max="1241" width="1" style="1" customWidth="1"/>
    <col min="1242" max="1242" width="19.6640625" style="1" customWidth="1"/>
    <col min="1243" max="1243" width="27.6640625" style="1" customWidth="1"/>
    <col min="1244" max="1247" width="8.5" style="1" bestFit="1" customWidth="1"/>
    <col min="1248" max="1248" width="9.83203125" style="1" bestFit="1" customWidth="1"/>
    <col min="1249" max="1249" width="13.1640625" style="1" bestFit="1" customWidth="1"/>
    <col min="1250" max="1494" width="8.83203125" style="1"/>
    <col min="1495" max="1495" width="1.5" style="1" customWidth="1"/>
    <col min="1496" max="1496" width="1.6640625" style="1" customWidth="1"/>
    <col min="1497" max="1497" width="1" style="1" customWidth="1"/>
    <col min="1498" max="1498" width="19.6640625" style="1" customWidth="1"/>
    <col min="1499" max="1499" width="27.6640625" style="1" customWidth="1"/>
    <col min="1500" max="1503" width="8.5" style="1" bestFit="1" customWidth="1"/>
    <col min="1504" max="1504" width="9.83203125" style="1" bestFit="1" customWidth="1"/>
    <col min="1505" max="1505" width="13.1640625" style="1" bestFit="1" customWidth="1"/>
    <col min="1506" max="1750" width="8.83203125" style="1"/>
    <col min="1751" max="1751" width="1.5" style="1" customWidth="1"/>
    <col min="1752" max="1752" width="1.6640625" style="1" customWidth="1"/>
    <col min="1753" max="1753" width="1" style="1" customWidth="1"/>
    <col min="1754" max="1754" width="19.6640625" style="1" customWidth="1"/>
    <col min="1755" max="1755" width="27.6640625" style="1" customWidth="1"/>
    <col min="1756" max="1759" width="8.5" style="1" bestFit="1" customWidth="1"/>
    <col min="1760" max="1760" width="9.83203125" style="1" bestFit="1" customWidth="1"/>
    <col min="1761" max="1761" width="13.1640625" style="1" bestFit="1" customWidth="1"/>
    <col min="1762" max="2006" width="8.83203125" style="1"/>
    <col min="2007" max="2007" width="1.5" style="1" customWidth="1"/>
    <col min="2008" max="2008" width="1.6640625" style="1" customWidth="1"/>
    <col min="2009" max="2009" width="1" style="1" customWidth="1"/>
    <col min="2010" max="2010" width="19.6640625" style="1" customWidth="1"/>
    <col min="2011" max="2011" width="27.6640625" style="1" customWidth="1"/>
    <col min="2012" max="2015" width="8.5" style="1" bestFit="1" customWidth="1"/>
    <col min="2016" max="2016" width="9.83203125" style="1" bestFit="1" customWidth="1"/>
    <col min="2017" max="2017" width="13.1640625" style="1" bestFit="1" customWidth="1"/>
    <col min="2018" max="2262" width="8.83203125" style="1"/>
    <col min="2263" max="2263" width="1.5" style="1" customWidth="1"/>
    <col min="2264" max="2264" width="1.6640625" style="1" customWidth="1"/>
    <col min="2265" max="2265" width="1" style="1" customWidth="1"/>
    <col min="2266" max="2266" width="19.6640625" style="1" customWidth="1"/>
    <col min="2267" max="2267" width="27.6640625" style="1" customWidth="1"/>
    <col min="2268" max="2271" width="8.5" style="1" bestFit="1" customWidth="1"/>
    <col min="2272" max="2272" width="9.83203125" style="1" bestFit="1" customWidth="1"/>
    <col min="2273" max="2273" width="13.1640625" style="1" bestFit="1" customWidth="1"/>
    <col min="2274" max="2518" width="8.83203125" style="1"/>
    <col min="2519" max="2519" width="1.5" style="1" customWidth="1"/>
    <col min="2520" max="2520" width="1.6640625" style="1" customWidth="1"/>
    <col min="2521" max="2521" width="1" style="1" customWidth="1"/>
    <col min="2522" max="2522" width="19.6640625" style="1" customWidth="1"/>
    <col min="2523" max="2523" width="27.6640625" style="1" customWidth="1"/>
    <col min="2524" max="2527" width="8.5" style="1" bestFit="1" customWidth="1"/>
    <col min="2528" max="2528" width="9.83203125" style="1" bestFit="1" customWidth="1"/>
    <col min="2529" max="2529" width="13.1640625" style="1" bestFit="1" customWidth="1"/>
    <col min="2530" max="2774" width="8.83203125" style="1"/>
    <col min="2775" max="2775" width="1.5" style="1" customWidth="1"/>
    <col min="2776" max="2776" width="1.6640625" style="1" customWidth="1"/>
    <col min="2777" max="2777" width="1" style="1" customWidth="1"/>
    <col min="2778" max="2778" width="19.6640625" style="1" customWidth="1"/>
    <col min="2779" max="2779" width="27.6640625" style="1" customWidth="1"/>
    <col min="2780" max="2783" width="8.5" style="1" bestFit="1" customWidth="1"/>
    <col min="2784" max="2784" width="9.83203125" style="1" bestFit="1" customWidth="1"/>
    <col min="2785" max="2785" width="13.1640625" style="1" bestFit="1" customWidth="1"/>
    <col min="2786" max="3030" width="8.83203125" style="1"/>
    <col min="3031" max="3031" width="1.5" style="1" customWidth="1"/>
    <col min="3032" max="3032" width="1.6640625" style="1" customWidth="1"/>
    <col min="3033" max="3033" width="1" style="1" customWidth="1"/>
    <col min="3034" max="3034" width="19.6640625" style="1" customWidth="1"/>
    <col min="3035" max="3035" width="27.6640625" style="1" customWidth="1"/>
    <col min="3036" max="3039" width="8.5" style="1" bestFit="1" customWidth="1"/>
    <col min="3040" max="3040" width="9.83203125" style="1" bestFit="1" customWidth="1"/>
    <col min="3041" max="3041" width="13.1640625" style="1" bestFit="1" customWidth="1"/>
    <col min="3042" max="3286" width="8.83203125" style="1"/>
    <col min="3287" max="3287" width="1.5" style="1" customWidth="1"/>
    <col min="3288" max="3288" width="1.6640625" style="1" customWidth="1"/>
    <col min="3289" max="3289" width="1" style="1" customWidth="1"/>
    <col min="3290" max="3290" width="19.6640625" style="1" customWidth="1"/>
    <col min="3291" max="3291" width="27.6640625" style="1" customWidth="1"/>
    <col min="3292" max="3295" width="8.5" style="1" bestFit="1" customWidth="1"/>
    <col min="3296" max="3296" width="9.83203125" style="1" bestFit="1" customWidth="1"/>
    <col min="3297" max="3297" width="13.1640625" style="1" bestFit="1" customWidth="1"/>
    <col min="3298" max="3542" width="8.83203125" style="1"/>
    <col min="3543" max="3543" width="1.5" style="1" customWidth="1"/>
    <col min="3544" max="3544" width="1.6640625" style="1" customWidth="1"/>
    <col min="3545" max="3545" width="1" style="1" customWidth="1"/>
    <col min="3546" max="3546" width="19.6640625" style="1" customWidth="1"/>
    <col min="3547" max="3547" width="27.6640625" style="1" customWidth="1"/>
    <col min="3548" max="3551" width="8.5" style="1" bestFit="1" customWidth="1"/>
    <col min="3552" max="3552" width="9.83203125" style="1" bestFit="1" customWidth="1"/>
    <col min="3553" max="3553" width="13.1640625" style="1" bestFit="1" customWidth="1"/>
    <col min="3554" max="3798" width="8.83203125" style="1"/>
    <col min="3799" max="3799" width="1.5" style="1" customWidth="1"/>
    <col min="3800" max="3800" width="1.6640625" style="1" customWidth="1"/>
    <col min="3801" max="3801" width="1" style="1" customWidth="1"/>
    <col min="3802" max="3802" width="19.6640625" style="1" customWidth="1"/>
    <col min="3803" max="3803" width="27.6640625" style="1" customWidth="1"/>
    <col min="3804" max="3807" width="8.5" style="1" bestFit="1" customWidth="1"/>
    <col min="3808" max="3808" width="9.83203125" style="1" bestFit="1" customWidth="1"/>
    <col min="3809" max="3809" width="13.1640625" style="1" bestFit="1" customWidth="1"/>
    <col min="3810" max="4054" width="8.83203125" style="1"/>
    <col min="4055" max="4055" width="1.5" style="1" customWidth="1"/>
    <col min="4056" max="4056" width="1.6640625" style="1" customWidth="1"/>
    <col min="4057" max="4057" width="1" style="1" customWidth="1"/>
    <col min="4058" max="4058" width="19.6640625" style="1" customWidth="1"/>
    <col min="4059" max="4059" width="27.6640625" style="1" customWidth="1"/>
    <col min="4060" max="4063" width="8.5" style="1" bestFit="1" customWidth="1"/>
    <col min="4064" max="4064" width="9.83203125" style="1" bestFit="1" customWidth="1"/>
    <col min="4065" max="4065" width="13.1640625" style="1" bestFit="1" customWidth="1"/>
    <col min="4066" max="4310" width="8.83203125" style="1"/>
    <col min="4311" max="4311" width="1.5" style="1" customWidth="1"/>
    <col min="4312" max="4312" width="1.6640625" style="1" customWidth="1"/>
    <col min="4313" max="4313" width="1" style="1" customWidth="1"/>
    <col min="4314" max="4314" width="19.6640625" style="1" customWidth="1"/>
    <col min="4315" max="4315" width="27.6640625" style="1" customWidth="1"/>
    <col min="4316" max="4319" width="8.5" style="1" bestFit="1" customWidth="1"/>
    <col min="4320" max="4320" width="9.83203125" style="1" bestFit="1" customWidth="1"/>
    <col min="4321" max="4321" width="13.1640625" style="1" bestFit="1" customWidth="1"/>
    <col min="4322" max="4566" width="8.83203125" style="1"/>
    <col min="4567" max="4567" width="1.5" style="1" customWidth="1"/>
    <col min="4568" max="4568" width="1.6640625" style="1" customWidth="1"/>
    <col min="4569" max="4569" width="1" style="1" customWidth="1"/>
    <col min="4570" max="4570" width="19.6640625" style="1" customWidth="1"/>
    <col min="4571" max="4571" width="27.6640625" style="1" customWidth="1"/>
    <col min="4572" max="4575" width="8.5" style="1" bestFit="1" customWidth="1"/>
    <col min="4576" max="4576" width="9.83203125" style="1" bestFit="1" customWidth="1"/>
    <col min="4577" max="4577" width="13.1640625" style="1" bestFit="1" customWidth="1"/>
    <col min="4578" max="4822" width="8.83203125" style="1"/>
    <col min="4823" max="4823" width="1.5" style="1" customWidth="1"/>
    <col min="4824" max="4824" width="1.6640625" style="1" customWidth="1"/>
    <col min="4825" max="4825" width="1" style="1" customWidth="1"/>
    <col min="4826" max="4826" width="19.6640625" style="1" customWidth="1"/>
    <col min="4827" max="4827" width="27.6640625" style="1" customWidth="1"/>
    <col min="4828" max="4831" width="8.5" style="1" bestFit="1" customWidth="1"/>
    <col min="4832" max="4832" width="9.83203125" style="1" bestFit="1" customWidth="1"/>
    <col min="4833" max="4833" width="13.1640625" style="1" bestFit="1" customWidth="1"/>
    <col min="4834" max="5078" width="8.83203125" style="1"/>
    <col min="5079" max="5079" width="1.5" style="1" customWidth="1"/>
    <col min="5080" max="5080" width="1.6640625" style="1" customWidth="1"/>
    <col min="5081" max="5081" width="1" style="1" customWidth="1"/>
    <col min="5082" max="5082" width="19.6640625" style="1" customWidth="1"/>
    <col min="5083" max="5083" width="27.6640625" style="1" customWidth="1"/>
    <col min="5084" max="5087" width="8.5" style="1" bestFit="1" customWidth="1"/>
    <col min="5088" max="5088" width="9.83203125" style="1" bestFit="1" customWidth="1"/>
    <col min="5089" max="5089" width="13.1640625" style="1" bestFit="1" customWidth="1"/>
    <col min="5090" max="5334" width="8.83203125" style="1"/>
    <col min="5335" max="5335" width="1.5" style="1" customWidth="1"/>
    <col min="5336" max="5336" width="1.6640625" style="1" customWidth="1"/>
    <col min="5337" max="5337" width="1" style="1" customWidth="1"/>
    <col min="5338" max="5338" width="19.6640625" style="1" customWidth="1"/>
    <col min="5339" max="5339" width="27.6640625" style="1" customWidth="1"/>
    <col min="5340" max="5343" width="8.5" style="1" bestFit="1" customWidth="1"/>
    <col min="5344" max="5344" width="9.83203125" style="1" bestFit="1" customWidth="1"/>
    <col min="5345" max="5345" width="13.1640625" style="1" bestFit="1" customWidth="1"/>
    <col min="5346" max="5590" width="8.83203125" style="1"/>
    <col min="5591" max="5591" width="1.5" style="1" customWidth="1"/>
    <col min="5592" max="5592" width="1.6640625" style="1" customWidth="1"/>
    <col min="5593" max="5593" width="1" style="1" customWidth="1"/>
    <col min="5594" max="5594" width="19.6640625" style="1" customWidth="1"/>
    <col min="5595" max="5595" width="27.6640625" style="1" customWidth="1"/>
    <col min="5596" max="5599" width="8.5" style="1" bestFit="1" customWidth="1"/>
    <col min="5600" max="5600" width="9.83203125" style="1" bestFit="1" customWidth="1"/>
    <col min="5601" max="5601" width="13.1640625" style="1" bestFit="1" customWidth="1"/>
    <col min="5602" max="5846" width="8.83203125" style="1"/>
    <col min="5847" max="5847" width="1.5" style="1" customWidth="1"/>
    <col min="5848" max="5848" width="1.6640625" style="1" customWidth="1"/>
    <col min="5849" max="5849" width="1" style="1" customWidth="1"/>
    <col min="5850" max="5850" width="19.6640625" style="1" customWidth="1"/>
    <col min="5851" max="5851" width="27.6640625" style="1" customWidth="1"/>
    <col min="5852" max="5855" width="8.5" style="1" bestFit="1" customWidth="1"/>
    <col min="5856" max="5856" width="9.83203125" style="1" bestFit="1" customWidth="1"/>
    <col min="5857" max="5857" width="13.1640625" style="1" bestFit="1" customWidth="1"/>
    <col min="5858" max="6102" width="8.83203125" style="1"/>
    <col min="6103" max="6103" width="1.5" style="1" customWidth="1"/>
    <col min="6104" max="6104" width="1.6640625" style="1" customWidth="1"/>
    <col min="6105" max="6105" width="1" style="1" customWidth="1"/>
    <col min="6106" max="6106" width="19.6640625" style="1" customWidth="1"/>
    <col min="6107" max="6107" width="27.6640625" style="1" customWidth="1"/>
    <col min="6108" max="6111" width="8.5" style="1" bestFit="1" customWidth="1"/>
    <col min="6112" max="6112" width="9.83203125" style="1" bestFit="1" customWidth="1"/>
    <col min="6113" max="6113" width="13.1640625" style="1" bestFit="1" customWidth="1"/>
    <col min="6114" max="6358" width="8.83203125" style="1"/>
    <col min="6359" max="6359" width="1.5" style="1" customWidth="1"/>
    <col min="6360" max="6360" width="1.6640625" style="1" customWidth="1"/>
    <col min="6361" max="6361" width="1" style="1" customWidth="1"/>
    <col min="6362" max="6362" width="19.6640625" style="1" customWidth="1"/>
    <col min="6363" max="6363" width="27.6640625" style="1" customWidth="1"/>
    <col min="6364" max="6367" width="8.5" style="1" bestFit="1" customWidth="1"/>
    <col min="6368" max="6368" width="9.83203125" style="1" bestFit="1" customWidth="1"/>
    <col min="6369" max="6369" width="13.1640625" style="1" bestFit="1" customWidth="1"/>
    <col min="6370" max="6614" width="8.83203125" style="1"/>
    <col min="6615" max="6615" width="1.5" style="1" customWidth="1"/>
    <col min="6616" max="6616" width="1.6640625" style="1" customWidth="1"/>
    <col min="6617" max="6617" width="1" style="1" customWidth="1"/>
    <col min="6618" max="6618" width="19.6640625" style="1" customWidth="1"/>
    <col min="6619" max="6619" width="27.6640625" style="1" customWidth="1"/>
    <col min="6620" max="6623" width="8.5" style="1" bestFit="1" customWidth="1"/>
    <col min="6624" max="6624" width="9.83203125" style="1" bestFit="1" customWidth="1"/>
    <col min="6625" max="6625" width="13.1640625" style="1" bestFit="1" customWidth="1"/>
    <col min="6626" max="6870" width="8.83203125" style="1"/>
    <col min="6871" max="6871" width="1.5" style="1" customWidth="1"/>
    <col min="6872" max="6872" width="1.6640625" style="1" customWidth="1"/>
    <col min="6873" max="6873" width="1" style="1" customWidth="1"/>
    <col min="6874" max="6874" width="19.6640625" style="1" customWidth="1"/>
    <col min="6875" max="6875" width="27.6640625" style="1" customWidth="1"/>
    <col min="6876" max="6879" width="8.5" style="1" bestFit="1" customWidth="1"/>
    <col min="6880" max="6880" width="9.83203125" style="1" bestFit="1" customWidth="1"/>
    <col min="6881" max="6881" width="13.1640625" style="1" bestFit="1" customWidth="1"/>
    <col min="6882" max="7126" width="8.83203125" style="1"/>
    <col min="7127" max="7127" width="1.5" style="1" customWidth="1"/>
    <col min="7128" max="7128" width="1.6640625" style="1" customWidth="1"/>
    <col min="7129" max="7129" width="1" style="1" customWidth="1"/>
    <col min="7130" max="7130" width="19.6640625" style="1" customWidth="1"/>
    <col min="7131" max="7131" width="27.6640625" style="1" customWidth="1"/>
    <col min="7132" max="7135" width="8.5" style="1" bestFit="1" customWidth="1"/>
    <col min="7136" max="7136" width="9.83203125" style="1" bestFit="1" customWidth="1"/>
    <col min="7137" max="7137" width="13.1640625" style="1" bestFit="1" customWidth="1"/>
    <col min="7138" max="7382" width="8.83203125" style="1"/>
    <col min="7383" max="7383" width="1.5" style="1" customWidth="1"/>
    <col min="7384" max="7384" width="1.6640625" style="1" customWidth="1"/>
    <col min="7385" max="7385" width="1" style="1" customWidth="1"/>
    <col min="7386" max="7386" width="19.6640625" style="1" customWidth="1"/>
    <col min="7387" max="7387" width="27.6640625" style="1" customWidth="1"/>
    <col min="7388" max="7391" width="8.5" style="1" bestFit="1" customWidth="1"/>
    <col min="7392" max="7392" width="9.83203125" style="1" bestFit="1" customWidth="1"/>
    <col min="7393" max="7393" width="13.1640625" style="1" bestFit="1" customWidth="1"/>
    <col min="7394" max="7638" width="8.83203125" style="1"/>
    <col min="7639" max="7639" width="1.5" style="1" customWidth="1"/>
    <col min="7640" max="7640" width="1.6640625" style="1" customWidth="1"/>
    <col min="7641" max="7641" width="1" style="1" customWidth="1"/>
    <col min="7642" max="7642" width="19.6640625" style="1" customWidth="1"/>
    <col min="7643" max="7643" width="27.6640625" style="1" customWidth="1"/>
    <col min="7644" max="7647" width="8.5" style="1" bestFit="1" customWidth="1"/>
    <col min="7648" max="7648" width="9.83203125" style="1" bestFit="1" customWidth="1"/>
    <col min="7649" max="7649" width="13.1640625" style="1" bestFit="1" customWidth="1"/>
    <col min="7650" max="7894" width="8.83203125" style="1"/>
    <col min="7895" max="7895" width="1.5" style="1" customWidth="1"/>
    <col min="7896" max="7896" width="1.6640625" style="1" customWidth="1"/>
    <col min="7897" max="7897" width="1" style="1" customWidth="1"/>
    <col min="7898" max="7898" width="19.6640625" style="1" customWidth="1"/>
    <col min="7899" max="7899" width="27.6640625" style="1" customWidth="1"/>
    <col min="7900" max="7903" width="8.5" style="1" bestFit="1" customWidth="1"/>
    <col min="7904" max="7904" width="9.83203125" style="1" bestFit="1" customWidth="1"/>
    <col min="7905" max="7905" width="13.1640625" style="1" bestFit="1" customWidth="1"/>
    <col min="7906" max="8150" width="8.83203125" style="1"/>
    <col min="8151" max="8151" width="1.5" style="1" customWidth="1"/>
    <col min="8152" max="8152" width="1.6640625" style="1" customWidth="1"/>
    <col min="8153" max="8153" width="1" style="1" customWidth="1"/>
    <col min="8154" max="8154" width="19.6640625" style="1" customWidth="1"/>
    <col min="8155" max="8155" width="27.6640625" style="1" customWidth="1"/>
    <col min="8156" max="8159" width="8.5" style="1" bestFit="1" customWidth="1"/>
    <col min="8160" max="8160" width="9.83203125" style="1" bestFit="1" customWidth="1"/>
    <col min="8161" max="8161" width="13.1640625" style="1" bestFit="1" customWidth="1"/>
    <col min="8162" max="8406" width="8.83203125" style="1"/>
    <col min="8407" max="8407" width="1.5" style="1" customWidth="1"/>
    <col min="8408" max="8408" width="1.6640625" style="1" customWidth="1"/>
    <col min="8409" max="8409" width="1" style="1" customWidth="1"/>
    <col min="8410" max="8410" width="19.6640625" style="1" customWidth="1"/>
    <col min="8411" max="8411" width="27.6640625" style="1" customWidth="1"/>
    <col min="8412" max="8415" width="8.5" style="1" bestFit="1" customWidth="1"/>
    <col min="8416" max="8416" width="9.83203125" style="1" bestFit="1" customWidth="1"/>
    <col min="8417" max="8417" width="13.1640625" style="1" bestFit="1" customWidth="1"/>
    <col min="8418" max="8662" width="8.83203125" style="1"/>
    <col min="8663" max="8663" width="1.5" style="1" customWidth="1"/>
    <col min="8664" max="8664" width="1.6640625" style="1" customWidth="1"/>
    <col min="8665" max="8665" width="1" style="1" customWidth="1"/>
    <col min="8666" max="8666" width="19.6640625" style="1" customWidth="1"/>
    <col min="8667" max="8667" width="27.6640625" style="1" customWidth="1"/>
    <col min="8668" max="8671" width="8.5" style="1" bestFit="1" customWidth="1"/>
    <col min="8672" max="8672" width="9.83203125" style="1" bestFit="1" customWidth="1"/>
    <col min="8673" max="8673" width="13.1640625" style="1" bestFit="1" customWidth="1"/>
    <col min="8674" max="8918" width="8.83203125" style="1"/>
    <col min="8919" max="8919" width="1.5" style="1" customWidth="1"/>
    <col min="8920" max="8920" width="1.6640625" style="1" customWidth="1"/>
    <col min="8921" max="8921" width="1" style="1" customWidth="1"/>
    <col min="8922" max="8922" width="19.6640625" style="1" customWidth="1"/>
    <col min="8923" max="8923" width="27.6640625" style="1" customWidth="1"/>
    <col min="8924" max="8927" width="8.5" style="1" bestFit="1" customWidth="1"/>
    <col min="8928" max="8928" width="9.83203125" style="1" bestFit="1" customWidth="1"/>
    <col min="8929" max="8929" width="13.1640625" style="1" bestFit="1" customWidth="1"/>
    <col min="8930" max="9174" width="8.83203125" style="1"/>
    <col min="9175" max="9175" width="1.5" style="1" customWidth="1"/>
    <col min="9176" max="9176" width="1.6640625" style="1" customWidth="1"/>
    <col min="9177" max="9177" width="1" style="1" customWidth="1"/>
    <col min="9178" max="9178" width="19.6640625" style="1" customWidth="1"/>
    <col min="9179" max="9179" width="27.6640625" style="1" customWidth="1"/>
    <col min="9180" max="9183" width="8.5" style="1" bestFit="1" customWidth="1"/>
    <col min="9184" max="9184" width="9.83203125" style="1" bestFit="1" customWidth="1"/>
    <col min="9185" max="9185" width="13.1640625" style="1" bestFit="1" customWidth="1"/>
    <col min="9186" max="9430" width="8.83203125" style="1"/>
    <col min="9431" max="9431" width="1.5" style="1" customWidth="1"/>
    <col min="9432" max="9432" width="1.6640625" style="1" customWidth="1"/>
    <col min="9433" max="9433" width="1" style="1" customWidth="1"/>
    <col min="9434" max="9434" width="19.6640625" style="1" customWidth="1"/>
    <col min="9435" max="9435" width="27.6640625" style="1" customWidth="1"/>
    <col min="9436" max="9439" width="8.5" style="1" bestFit="1" customWidth="1"/>
    <col min="9440" max="9440" width="9.83203125" style="1" bestFit="1" customWidth="1"/>
    <col min="9441" max="9441" width="13.1640625" style="1" bestFit="1" customWidth="1"/>
    <col min="9442" max="9686" width="8.83203125" style="1"/>
    <col min="9687" max="9687" width="1.5" style="1" customWidth="1"/>
    <col min="9688" max="9688" width="1.6640625" style="1" customWidth="1"/>
    <col min="9689" max="9689" width="1" style="1" customWidth="1"/>
    <col min="9690" max="9690" width="19.6640625" style="1" customWidth="1"/>
    <col min="9691" max="9691" width="27.6640625" style="1" customWidth="1"/>
    <col min="9692" max="9695" width="8.5" style="1" bestFit="1" customWidth="1"/>
    <col min="9696" max="9696" width="9.83203125" style="1" bestFit="1" customWidth="1"/>
    <col min="9697" max="9697" width="13.1640625" style="1" bestFit="1" customWidth="1"/>
    <col min="9698" max="9942" width="8.83203125" style="1"/>
    <col min="9943" max="9943" width="1.5" style="1" customWidth="1"/>
    <col min="9944" max="9944" width="1.6640625" style="1" customWidth="1"/>
    <col min="9945" max="9945" width="1" style="1" customWidth="1"/>
    <col min="9946" max="9946" width="19.6640625" style="1" customWidth="1"/>
    <col min="9947" max="9947" width="27.6640625" style="1" customWidth="1"/>
    <col min="9948" max="9951" width="8.5" style="1" bestFit="1" customWidth="1"/>
    <col min="9952" max="9952" width="9.83203125" style="1" bestFit="1" customWidth="1"/>
    <col min="9953" max="9953" width="13.1640625" style="1" bestFit="1" customWidth="1"/>
    <col min="9954" max="10198" width="8.83203125" style="1"/>
    <col min="10199" max="10199" width="1.5" style="1" customWidth="1"/>
    <col min="10200" max="10200" width="1.6640625" style="1" customWidth="1"/>
    <col min="10201" max="10201" width="1" style="1" customWidth="1"/>
    <col min="10202" max="10202" width="19.6640625" style="1" customWidth="1"/>
    <col min="10203" max="10203" width="27.6640625" style="1" customWidth="1"/>
    <col min="10204" max="10207" width="8.5" style="1" bestFit="1" customWidth="1"/>
    <col min="10208" max="10208" width="9.83203125" style="1" bestFit="1" customWidth="1"/>
    <col min="10209" max="10209" width="13.1640625" style="1" bestFit="1" customWidth="1"/>
    <col min="10210" max="10454" width="8.83203125" style="1"/>
    <col min="10455" max="10455" width="1.5" style="1" customWidth="1"/>
    <col min="10456" max="10456" width="1.6640625" style="1" customWidth="1"/>
    <col min="10457" max="10457" width="1" style="1" customWidth="1"/>
    <col min="10458" max="10458" width="19.6640625" style="1" customWidth="1"/>
    <col min="10459" max="10459" width="27.6640625" style="1" customWidth="1"/>
    <col min="10460" max="10463" width="8.5" style="1" bestFit="1" customWidth="1"/>
    <col min="10464" max="10464" width="9.83203125" style="1" bestFit="1" customWidth="1"/>
    <col min="10465" max="10465" width="13.1640625" style="1" bestFit="1" customWidth="1"/>
    <col min="10466" max="10710" width="8.83203125" style="1"/>
    <col min="10711" max="10711" width="1.5" style="1" customWidth="1"/>
    <col min="10712" max="10712" width="1.6640625" style="1" customWidth="1"/>
    <col min="10713" max="10713" width="1" style="1" customWidth="1"/>
    <col min="10714" max="10714" width="19.6640625" style="1" customWidth="1"/>
    <col min="10715" max="10715" width="27.6640625" style="1" customWidth="1"/>
    <col min="10716" max="10719" width="8.5" style="1" bestFit="1" customWidth="1"/>
    <col min="10720" max="10720" width="9.83203125" style="1" bestFit="1" customWidth="1"/>
    <col min="10721" max="10721" width="13.1640625" style="1" bestFit="1" customWidth="1"/>
    <col min="10722" max="10966" width="8.83203125" style="1"/>
    <col min="10967" max="10967" width="1.5" style="1" customWidth="1"/>
    <col min="10968" max="10968" width="1.6640625" style="1" customWidth="1"/>
    <col min="10969" max="10969" width="1" style="1" customWidth="1"/>
    <col min="10970" max="10970" width="19.6640625" style="1" customWidth="1"/>
    <col min="10971" max="10971" width="27.6640625" style="1" customWidth="1"/>
    <col min="10972" max="10975" width="8.5" style="1" bestFit="1" customWidth="1"/>
    <col min="10976" max="10976" width="9.83203125" style="1" bestFit="1" customWidth="1"/>
    <col min="10977" max="10977" width="13.1640625" style="1" bestFit="1" customWidth="1"/>
    <col min="10978" max="11222" width="8.83203125" style="1"/>
    <col min="11223" max="11223" width="1.5" style="1" customWidth="1"/>
    <col min="11224" max="11224" width="1.6640625" style="1" customWidth="1"/>
    <col min="11225" max="11225" width="1" style="1" customWidth="1"/>
    <col min="11226" max="11226" width="19.6640625" style="1" customWidth="1"/>
    <col min="11227" max="11227" width="27.6640625" style="1" customWidth="1"/>
    <col min="11228" max="11231" width="8.5" style="1" bestFit="1" customWidth="1"/>
    <col min="11232" max="11232" width="9.83203125" style="1" bestFit="1" customWidth="1"/>
    <col min="11233" max="11233" width="13.1640625" style="1" bestFit="1" customWidth="1"/>
    <col min="11234" max="11478" width="8.83203125" style="1"/>
    <col min="11479" max="11479" width="1.5" style="1" customWidth="1"/>
    <col min="11480" max="11480" width="1.6640625" style="1" customWidth="1"/>
    <col min="11481" max="11481" width="1" style="1" customWidth="1"/>
    <col min="11482" max="11482" width="19.6640625" style="1" customWidth="1"/>
    <col min="11483" max="11483" width="27.6640625" style="1" customWidth="1"/>
    <col min="11484" max="11487" width="8.5" style="1" bestFit="1" customWidth="1"/>
    <col min="11488" max="11488" width="9.83203125" style="1" bestFit="1" customWidth="1"/>
    <col min="11489" max="11489" width="13.1640625" style="1" bestFit="1" customWidth="1"/>
    <col min="11490" max="11734" width="8.83203125" style="1"/>
    <col min="11735" max="11735" width="1.5" style="1" customWidth="1"/>
    <col min="11736" max="11736" width="1.6640625" style="1" customWidth="1"/>
    <col min="11737" max="11737" width="1" style="1" customWidth="1"/>
    <col min="11738" max="11738" width="19.6640625" style="1" customWidth="1"/>
    <col min="11739" max="11739" width="27.6640625" style="1" customWidth="1"/>
    <col min="11740" max="11743" width="8.5" style="1" bestFit="1" customWidth="1"/>
    <col min="11744" max="11744" width="9.83203125" style="1" bestFit="1" customWidth="1"/>
    <col min="11745" max="11745" width="13.1640625" style="1" bestFit="1" customWidth="1"/>
    <col min="11746" max="11990" width="8.83203125" style="1"/>
    <col min="11991" max="11991" width="1.5" style="1" customWidth="1"/>
    <col min="11992" max="11992" width="1.6640625" style="1" customWidth="1"/>
    <col min="11993" max="11993" width="1" style="1" customWidth="1"/>
    <col min="11994" max="11994" width="19.6640625" style="1" customWidth="1"/>
    <col min="11995" max="11995" width="27.6640625" style="1" customWidth="1"/>
    <col min="11996" max="11999" width="8.5" style="1" bestFit="1" customWidth="1"/>
    <col min="12000" max="12000" width="9.83203125" style="1" bestFit="1" customWidth="1"/>
    <col min="12001" max="12001" width="13.1640625" style="1" bestFit="1" customWidth="1"/>
    <col min="12002" max="12246" width="8.83203125" style="1"/>
    <col min="12247" max="12247" width="1.5" style="1" customWidth="1"/>
    <col min="12248" max="12248" width="1.6640625" style="1" customWidth="1"/>
    <col min="12249" max="12249" width="1" style="1" customWidth="1"/>
    <col min="12250" max="12250" width="19.6640625" style="1" customWidth="1"/>
    <col min="12251" max="12251" width="27.6640625" style="1" customWidth="1"/>
    <col min="12252" max="12255" width="8.5" style="1" bestFit="1" customWidth="1"/>
    <col min="12256" max="12256" width="9.83203125" style="1" bestFit="1" customWidth="1"/>
    <col min="12257" max="12257" width="13.1640625" style="1" bestFit="1" customWidth="1"/>
    <col min="12258" max="12502" width="8.83203125" style="1"/>
    <col min="12503" max="12503" width="1.5" style="1" customWidth="1"/>
    <col min="12504" max="12504" width="1.6640625" style="1" customWidth="1"/>
    <col min="12505" max="12505" width="1" style="1" customWidth="1"/>
    <col min="12506" max="12506" width="19.6640625" style="1" customWidth="1"/>
    <col min="12507" max="12507" width="27.6640625" style="1" customWidth="1"/>
    <col min="12508" max="12511" width="8.5" style="1" bestFit="1" customWidth="1"/>
    <col min="12512" max="12512" width="9.83203125" style="1" bestFit="1" customWidth="1"/>
    <col min="12513" max="12513" width="13.1640625" style="1" bestFit="1" customWidth="1"/>
    <col min="12514" max="12758" width="8.83203125" style="1"/>
    <col min="12759" max="12759" width="1.5" style="1" customWidth="1"/>
    <col min="12760" max="12760" width="1.6640625" style="1" customWidth="1"/>
    <col min="12761" max="12761" width="1" style="1" customWidth="1"/>
    <col min="12762" max="12762" width="19.6640625" style="1" customWidth="1"/>
    <col min="12763" max="12763" width="27.6640625" style="1" customWidth="1"/>
    <col min="12764" max="12767" width="8.5" style="1" bestFit="1" customWidth="1"/>
    <col min="12768" max="12768" width="9.83203125" style="1" bestFit="1" customWidth="1"/>
    <col min="12769" max="12769" width="13.1640625" style="1" bestFit="1" customWidth="1"/>
    <col min="12770" max="13014" width="8.83203125" style="1"/>
    <col min="13015" max="13015" width="1.5" style="1" customWidth="1"/>
    <col min="13016" max="13016" width="1.6640625" style="1" customWidth="1"/>
    <col min="13017" max="13017" width="1" style="1" customWidth="1"/>
    <col min="13018" max="13018" width="19.6640625" style="1" customWidth="1"/>
    <col min="13019" max="13019" width="27.6640625" style="1" customWidth="1"/>
    <col min="13020" max="13023" width="8.5" style="1" bestFit="1" customWidth="1"/>
    <col min="13024" max="13024" width="9.83203125" style="1" bestFit="1" customWidth="1"/>
    <col min="13025" max="13025" width="13.1640625" style="1" bestFit="1" customWidth="1"/>
    <col min="13026" max="13270" width="8.83203125" style="1"/>
    <col min="13271" max="13271" width="1.5" style="1" customWidth="1"/>
    <col min="13272" max="13272" width="1.6640625" style="1" customWidth="1"/>
    <col min="13273" max="13273" width="1" style="1" customWidth="1"/>
    <col min="13274" max="13274" width="19.6640625" style="1" customWidth="1"/>
    <col min="13275" max="13275" width="27.6640625" style="1" customWidth="1"/>
    <col min="13276" max="13279" width="8.5" style="1" bestFit="1" customWidth="1"/>
    <col min="13280" max="13280" width="9.83203125" style="1" bestFit="1" customWidth="1"/>
    <col min="13281" max="13281" width="13.1640625" style="1" bestFit="1" customWidth="1"/>
    <col min="13282" max="13526" width="8.83203125" style="1"/>
    <col min="13527" max="13527" width="1.5" style="1" customWidth="1"/>
    <col min="13528" max="13528" width="1.6640625" style="1" customWidth="1"/>
    <col min="13529" max="13529" width="1" style="1" customWidth="1"/>
    <col min="13530" max="13530" width="19.6640625" style="1" customWidth="1"/>
    <col min="13531" max="13531" width="27.6640625" style="1" customWidth="1"/>
    <col min="13532" max="13535" width="8.5" style="1" bestFit="1" customWidth="1"/>
    <col min="13536" max="13536" width="9.83203125" style="1" bestFit="1" customWidth="1"/>
    <col min="13537" max="13537" width="13.1640625" style="1" bestFit="1" customWidth="1"/>
    <col min="13538" max="13782" width="8.83203125" style="1"/>
    <col min="13783" max="13783" width="1.5" style="1" customWidth="1"/>
    <col min="13784" max="13784" width="1.6640625" style="1" customWidth="1"/>
    <col min="13785" max="13785" width="1" style="1" customWidth="1"/>
    <col min="13786" max="13786" width="19.6640625" style="1" customWidth="1"/>
    <col min="13787" max="13787" width="27.6640625" style="1" customWidth="1"/>
    <col min="13788" max="13791" width="8.5" style="1" bestFit="1" customWidth="1"/>
    <col min="13792" max="13792" width="9.83203125" style="1" bestFit="1" customWidth="1"/>
    <col min="13793" max="13793" width="13.1640625" style="1" bestFit="1" customWidth="1"/>
    <col min="13794" max="14038" width="8.83203125" style="1"/>
    <col min="14039" max="14039" width="1.5" style="1" customWidth="1"/>
    <col min="14040" max="14040" width="1.6640625" style="1" customWidth="1"/>
    <col min="14041" max="14041" width="1" style="1" customWidth="1"/>
    <col min="14042" max="14042" width="19.6640625" style="1" customWidth="1"/>
    <col min="14043" max="14043" width="27.6640625" style="1" customWidth="1"/>
    <col min="14044" max="14047" width="8.5" style="1" bestFit="1" customWidth="1"/>
    <col min="14048" max="14048" width="9.83203125" style="1" bestFit="1" customWidth="1"/>
    <col min="14049" max="14049" width="13.1640625" style="1" bestFit="1" customWidth="1"/>
    <col min="14050" max="14294" width="8.83203125" style="1"/>
    <col min="14295" max="14295" width="1.5" style="1" customWidth="1"/>
    <col min="14296" max="14296" width="1.6640625" style="1" customWidth="1"/>
    <col min="14297" max="14297" width="1" style="1" customWidth="1"/>
    <col min="14298" max="14298" width="19.6640625" style="1" customWidth="1"/>
    <col min="14299" max="14299" width="27.6640625" style="1" customWidth="1"/>
    <col min="14300" max="14303" width="8.5" style="1" bestFit="1" customWidth="1"/>
    <col min="14304" max="14304" width="9.83203125" style="1" bestFit="1" customWidth="1"/>
    <col min="14305" max="14305" width="13.1640625" style="1" bestFit="1" customWidth="1"/>
    <col min="14306" max="14550" width="8.83203125" style="1"/>
    <col min="14551" max="14551" width="1.5" style="1" customWidth="1"/>
    <col min="14552" max="14552" width="1.6640625" style="1" customWidth="1"/>
    <col min="14553" max="14553" width="1" style="1" customWidth="1"/>
    <col min="14554" max="14554" width="19.6640625" style="1" customWidth="1"/>
    <col min="14555" max="14555" width="27.6640625" style="1" customWidth="1"/>
    <col min="14556" max="14559" width="8.5" style="1" bestFit="1" customWidth="1"/>
    <col min="14560" max="14560" width="9.83203125" style="1" bestFit="1" customWidth="1"/>
    <col min="14561" max="14561" width="13.1640625" style="1" bestFit="1" customWidth="1"/>
    <col min="14562" max="14806" width="8.83203125" style="1"/>
    <col min="14807" max="14807" width="1.5" style="1" customWidth="1"/>
    <col min="14808" max="14808" width="1.6640625" style="1" customWidth="1"/>
    <col min="14809" max="14809" width="1" style="1" customWidth="1"/>
    <col min="14810" max="14810" width="19.6640625" style="1" customWidth="1"/>
    <col min="14811" max="14811" width="27.6640625" style="1" customWidth="1"/>
    <col min="14812" max="14815" width="8.5" style="1" bestFit="1" customWidth="1"/>
    <col min="14816" max="14816" width="9.83203125" style="1" bestFit="1" customWidth="1"/>
    <col min="14817" max="14817" width="13.1640625" style="1" bestFit="1" customWidth="1"/>
    <col min="14818" max="15062" width="8.83203125" style="1"/>
    <col min="15063" max="15063" width="1.5" style="1" customWidth="1"/>
    <col min="15064" max="15064" width="1.6640625" style="1" customWidth="1"/>
    <col min="15065" max="15065" width="1" style="1" customWidth="1"/>
    <col min="15066" max="15066" width="19.6640625" style="1" customWidth="1"/>
    <col min="15067" max="15067" width="27.6640625" style="1" customWidth="1"/>
    <col min="15068" max="15071" width="8.5" style="1" bestFit="1" customWidth="1"/>
    <col min="15072" max="15072" width="9.83203125" style="1" bestFit="1" customWidth="1"/>
    <col min="15073" max="15073" width="13.1640625" style="1" bestFit="1" customWidth="1"/>
    <col min="15074" max="15318" width="8.83203125" style="1"/>
    <col min="15319" max="15319" width="1.5" style="1" customWidth="1"/>
    <col min="15320" max="15320" width="1.6640625" style="1" customWidth="1"/>
    <col min="15321" max="15321" width="1" style="1" customWidth="1"/>
    <col min="15322" max="15322" width="19.6640625" style="1" customWidth="1"/>
    <col min="15323" max="15323" width="27.6640625" style="1" customWidth="1"/>
    <col min="15324" max="15327" width="8.5" style="1" bestFit="1" customWidth="1"/>
    <col min="15328" max="15328" width="9.83203125" style="1" bestFit="1" customWidth="1"/>
    <col min="15329" max="15329" width="13.1640625" style="1" bestFit="1" customWidth="1"/>
    <col min="15330" max="15574" width="8.83203125" style="1"/>
    <col min="15575" max="15575" width="1.5" style="1" customWidth="1"/>
    <col min="15576" max="15576" width="1.6640625" style="1" customWidth="1"/>
    <col min="15577" max="15577" width="1" style="1" customWidth="1"/>
    <col min="15578" max="15578" width="19.6640625" style="1" customWidth="1"/>
    <col min="15579" max="15579" width="27.6640625" style="1" customWidth="1"/>
    <col min="15580" max="15583" width="8.5" style="1" bestFit="1" customWidth="1"/>
    <col min="15584" max="15584" width="9.83203125" style="1" bestFit="1" customWidth="1"/>
    <col min="15585" max="15585" width="13.1640625" style="1" bestFit="1" customWidth="1"/>
    <col min="15586" max="15830" width="8.83203125" style="1"/>
    <col min="15831" max="15831" width="1.5" style="1" customWidth="1"/>
    <col min="15832" max="15832" width="1.6640625" style="1" customWidth="1"/>
    <col min="15833" max="15833" width="1" style="1" customWidth="1"/>
    <col min="15834" max="15834" width="19.6640625" style="1" customWidth="1"/>
    <col min="15835" max="15835" width="27.6640625" style="1" customWidth="1"/>
    <col min="15836" max="15839" width="8.5" style="1" bestFit="1" customWidth="1"/>
    <col min="15840" max="15840" width="9.83203125" style="1" bestFit="1" customWidth="1"/>
    <col min="15841" max="15841" width="13.1640625" style="1" bestFit="1" customWidth="1"/>
    <col min="15842" max="16086" width="8.83203125" style="1"/>
    <col min="16087" max="16087" width="1.5" style="1" customWidth="1"/>
    <col min="16088" max="16088" width="1.6640625" style="1" customWidth="1"/>
    <col min="16089" max="16089" width="1" style="1" customWidth="1"/>
    <col min="16090" max="16090" width="19.6640625" style="1" customWidth="1"/>
    <col min="16091" max="16091" width="27.6640625" style="1" customWidth="1"/>
    <col min="16092" max="16095" width="8.5" style="1" bestFit="1" customWidth="1"/>
    <col min="16096" max="16096" width="9.83203125" style="1" bestFit="1" customWidth="1"/>
    <col min="16097" max="16097" width="13.1640625" style="1" bestFit="1" customWidth="1"/>
    <col min="16098" max="16384" width="8.83203125" style="1"/>
  </cols>
  <sheetData>
    <row r="2" spans="2:16106" ht="10.5" customHeight="1" x14ac:dyDescent="0.15"/>
    <row r="3" spans="2:16106" s="5" customFormat="1" x14ac:dyDescent="0.15">
      <c r="B3" s="1"/>
      <c r="C3" s="2" t="s">
        <v>0</v>
      </c>
      <c r="D3" s="3"/>
      <c r="E3" s="3"/>
      <c r="F3" s="3"/>
      <c r="G3" s="3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</row>
    <row r="4" spans="2:16106" s="5" customFormat="1" ht="5.25" customHeight="1" x14ac:dyDescent="0.15">
      <c r="B4" s="1"/>
      <c r="C4" s="6"/>
      <c r="D4" s="7"/>
      <c r="E4" s="7"/>
      <c r="F4" s="7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</row>
    <row r="5" spans="2:16106" s="5" customFormat="1" x14ac:dyDescent="0.15">
      <c r="B5" s="1"/>
      <c r="C5" s="9" t="s">
        <v>1</v>
      </c>
      <c r="D5" s="10"/>
      <c r="E5" s="10"/>
      <c r="F5" s="10" t="s">
        <v>2</v>
      </c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</row>
    <row r="6" spans="2:16106" s="5" customFormat="1" x14ac:dyDescent="0.15">
      <c r="B6" s="1"/>
      <c r="C6" s="9" t="s">
        <v>3</v>
      </c>
      <c r="D6" s="10"/>
      <c r="E6" s="10"/>
      <c r="F6" s="10" t="s">
        <v>2</v>
      </c>
      <c r="G6" s="10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</row>
    <row r="7" spans="2:16106" s="5" customFormat="1" x14ac:dyDescent="0.15">
      <c r="B7" s="1"/>
      <c r="C7" s="9" t="s">
        <v>4</v>
      </c>
      <c r="D7" s="10"/>
      <c r="E7" s="10"/>
      <c r="F7" s="10" t="s">
        <v>2</v>
      </c>
      <c r="G7" s="10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</row>
    <row r="8" spans="2:16106" s="5" customFormat="1" x14ac:dyDescent="0.15">
      <c r="B8" s="1"/>
      <c r="C8" s="12" t="s">
        <v>5</v>
      </c>
      <c r="D8" s="10"/>
      <c r="E8" s="10"/>
      <c r="F8" s="10" t="s">
        <v>2</v>
      </c>
      <c r="G8" s="10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</row>
    <row r="9" spans="2:16106" s="5" customFormat="1" x14ac:dyDescent="0.15">
      <c r="B9" s="1"/>
      <c r="C9" s="13" t="s">
        <v>6</v>
      </c>
      <c r="D9" s="14"/>
      <c r="E9" s="14"/>
      <c r="F9" s="15"/>
      <c r="G9" s="16" t="s">
        <v>7</v>
      </c>
      <c r="H9" s="16" t="s">
        <v>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</row>
    <row r="10" spans="2:16106" s="5" customFormat="1" x14ac:dyDescent="0.15">
      <c r="B10" s="1"/>
      <c r="C10" s="17" t="s">
        <v>9</v>
      </c>
      <c r="D10" s="18" t="s">
        <v>10</v>
      </c>
      <c r="E10" s="1"/>
      <c r="F10" s="19"/>
      <c r="G10" s="20"/>
      <c r="H10" s="2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</row>
    <row r="11" spans="2:16106" s="5" customFormat="1" ht="15" x14ac:dyDescent="0.2">
      <c r="B11" s="1"/>
      <c r="C11" s="21"/>
      <c r="D11" s="1" t="s">
        <v>11</v>
      </c>
      <c r="E11" s="1" t="s">
        <v>12</v>
      </c>
      <c r="F11" s="19"/>
      <c r="G11" s="22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</row>
    <row r="12" spans="2:16106" s="5" customFormat="1" x14ac:dyDescent="0.15">
      <c r="B12" s="1"/>
      <c r="C12" s="21"/>
      <c r="D12" s="1" t="s">
        <v>13</v>
      </c>
      <c r="E12" s="1" t="s">
        <v>14</v>
      </c>
      <c r="F12" s="19"/>
      <c r="G12" s="24"/>
      <c r="H12" s="2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</row>
    <row r="13" spans="2:16106" s="5" customFormat="1" x14ac:dyDescent="0.15">
      <c r="B13" s="1"/>
      <c r="C13" s="21"/>
      <c r="D13" s="1" t="s">
        <v>15</v>
      </c>
      <c r="E13" s="1" t="s">
        <v>16</v>
      </c>
      <c r="F13" s="19"/>
      <c r="G13" s="25"/>
      <c r="H13" s="2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</row>
    <row r="14" spans="2:16106" s="5" customFormat="1" x14ac:dyDescent="0.15">
      <c r="B14" s="1"/>
      <c r="C14" s="21"/>
      <c r="D14" s="1" t="s">
        <v>17</v>
      </c>
      <c r="E14" s="1" t="s">
        <v>18</v>
      </c>
      <c r="F14" s="19"/>
      <c r="G14" s="25"/>
      <c r="H14" s="2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</row>
    <row r="15" spans="2:16106" s="5" customFormat="1" x14ac:dyDescent="0.15">
      <c r="B15" s="1"/>
      <c r="C15" s="17" t="s">
        <v>19</v>
      </c>
      <c r="D15" s="18" t="s">
        <v>20</v>
      </c>
      <c r="E15" s="1"/>
      <c r="F15" s="19"/>
      <c r="G15" s="26"/>
      <c r="H15" s="2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</row>
    <row r="16" spans="2:16106" s="5" customFormat="1" x14ac:dyDescent="0.15">
      <c r="B16" s="1"/>
      <c r="C16" s="21"/>
      <c r="D16" s="1" t="s">
        <v>11</v>
      </c>
      <c r="E16" s="1" t="s">
        <v>21</v>
      </c>
      <c r="F16" s="19"/>
      <c r="G16" s="26">
        <f>ROUND(4%*(G11+G12+G14),0)</f>
        <v>0</v>
      </c>
      <c r="H16" s="26">
        <f>ROUND(4%*(H11+H12+H14),0)</f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</row>
    <row r="17" spans="2:16106" s="5" customFormat="1" x14ac:dyDescent="0.15">
      <c r="B17" s="1"/>
      <c r="C17" s="21"/>
      <c r="D17" s="1" t="s">
        <v>13</v>
      </c>
      <c r="E17" s="1" t="s">
        <v>22</v>
      </c>
      <c r="F17" s="19"/>
      <c r="G17" s="26">
        <f>ROUND(6.89%*(G11+G12+G14),0)</f>
        <v>0</v>
      </c>
      <c r="H17" s="26">
        <f>ROUND(6.89%*(H11+H12+H14),0)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</row>
    <row r="18" spans="2:16106" s="5" customFormat="1" x14ac:dyDescent="0.15">
      <c r="B18" s="1"/>
      <c r="C18" s="17" t="s">
        <v>23</v>
      </c>
      <c r="D18" s="18" t="s">
        <v>24</v>
      </c>
      <c r="E18" s="1"/>
      <c r="F18" s="19"/>
      <c r="G18" s="26">
        <f>ROUND(((G11+G12+G14)/12),0)</f>
        <v>0</v>
      </c>
      <c r="H18" s="26">
        <f>ROUND(((H11+H12+H14)/12),0)</f>
        <v>0</v>
      </c>
      <c r="I18" s="1"/>
      <c r="J18" s="27">
        <f>G18*12</f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</row>
    <row r="19" spans="2:16106" s="5" customFormat="1" x14ac:dyDescent="0.15">
      <c r="B19" s="1"/>
      <c r="C19" s="9"/>
      <c r="D19" s="28"/>
      <c r="E19" s="28"/>
      <c r="F19" s="29" t="s">
        <v>25</v>
      </c>
      <c r="G19" s="30">
        <f>ROUND(SUM(G11,G12,G13,G14,G16,G17,G18),0)</f>
        <v>0</v>
      </c>
      <c r="H19" s="30">
        <f>ROUND(SUM(H11,H12,H13,H14,H16,H17,H18),0)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</row>
    <row r="20" spans="2:16106" x14ac:dyDescent="0.15">
      <c r="C20" s="17" t="s">
        <v>26</v>
      </c>
      <c r="D20" s="18" t="s">
        <v>27</v>
      </c>
      <c r="F20" s="19"/>
      <c r="G20" s="26"/>
      <c r="H20" s="26"/>
    </row>
    <row r="21" spans="2:16106" x14ac:dyDescent="0.15">
      <c r="C21" s="21"/>
      <c r="D21" s="1" t="s">
        <v>11</v>
      </c>
      <c r="E21" s="1" t="s">
        <v>28</v>
      </c>
      <c r="F21" s="19"/>
      <c r="G21" s="26">
        <f>ROUND((SUM(G11:G14)/173)*75%,0)</f>
        <v>0</v>
      </c>
      <c r="H21" s="26">
        <f>ROUND((SUM(H11:H14)/173)*75%,0)</f>
        <v>0</v>
      </c>
    </row>
    <row r="22" spans="2:16106" ht="33.75" customHeight="1" x14ac:dyDescent="0.15">
      <c r="C22" s="21"/>
      <c r="D22" s="31" t="s">
        <v>13</v>
      </c>
      <c r="E22" s="32" t="s">
        <v>29</v>
      </c>
      <c r="F22" s="33"/>
      <c r="G22" s="34"/>
      <c r="H22" s="34"/>
    </row>
    <row r="23" spans="2:16106" x14ac:dyDescent="0.15">
      <c r="C23" s="35"/>
      <c r="D23" s="10"/>
      <c r="E23" s="36"/>
      <c r="F23" s="36" t="s">
        <v>30</v>
      </c>
      <c r="G23" s="30">
        <f>ROUND(G22*G21,0)</f>
        <v>0</v>
      </c>
      <c r="H23" s="30">
        <f>ROUND(H22*H21,0)</f>
        <v>0</v>
      </c>
    </row>
    <row r="24" spans="2:16106" x14ac:dyDescent="0.15">
      <c r="C24" s="9"/>
      <c r="D24" s="28"/>
      <c r="E24" s="28"/>
      <c r="F24" s="29" t="s">
        <v>31</v>
      </c>
      <c r="G24" s="37"/>
      <c r="H24" s="38"/>
    </row>
    <row r="25" spans="2:16106" x14ac:dyDescent="0.15">
      <c r="C25" s="39"/>
      <c r="D25" s="40"/>
      <c r="E25" s="40"/>
      <c r="F25" s="41" t="s">
        <v>32</v>
      </c>
      <c r="G25" s="42">
        <f>ROUND((G19*G24)+(H19*H24),0)</f>
        <v>0</v>
      </c>
      <c r="H25" s="43"/>
    </row>
    <row r="26" spans="2:16106" x14ac:dyDescent="0.15">
      <c r="C26" s="44"/>
      <c r="D26" s="45"/>
      <c r="E26" s="45"/>
      <c r="F26" s="46" t="s">
        <v>33</v>
      </c>
      <c r="G26" s="42">
        <f>ROUND(G25*10%,0)</f>
        <v>0</v>
      </c>
      <c r="H26" s="43"/>
    </row>
    <row r="27" spans="2:16106" x14ac:dyDescent="0.15">
      <c r="C27" s="47"/>
      <c r="D27" s="48"/>
      <c r="E27" s="48"/>
      <c r="F27" s="49" t="s">
        <v>34</v>
      </c>
      <c r="G27" s="50">
        <f>ROUND(G25+G26,0)</f>
        <v>0</v>
      </c>
      <c r="H27" s="51"/>
      <c r="I27" s="52"/>
    </row>
    <row r="28" spans="2:16106" x14ac:dyDescent="0.15">
      <c r="C28" s="53"/>
      <c r="D28" s="54"/>
      <c r="E28" s="54"/>
      <c r="F28" s="55" t="s">
        <v>35</v>
      </c>
      <c r="G28" s="56">
        <f>ROUND((G23*G24)+(H23*H24),0)</f>
        <v>0</v>
      </c>
      <c r="H28" s="57"/>
      <c r="I28" s="52"/>
    </row>
    <row r="29" spans="2:16106" x14ac:dyDescent="0.15">
      <c r="C29" s="44"/>
      <c r="D29" s="45"/>
      <c r="E29" s="45"/>
      <c r="F29" s="46" t="s">
        <v>36</v>
      </c>
      <c r="G29" s="56">
        <f>ROUND(G28*2.5%,0)</f>
        <v>0</v>
      </c>
      <c r="H29" s="57"/>
      <c r="I29" s="52">
        <f>I27+I28</f>
        <v>0</v>
      </c>
    </row>
    <row r="30" spans="2:16106" x14ac:dyDescent="0.15">
      <c r="C30" s="47"/>
      <c r="D30" s="48"/>
      <c r="E30" s="48"/>
      <c r="F30" s="49" t="s">
        <v>37</v>
      </c>
      <c r="G30" s="50">
        <f>ROUND(G28+G29,0)</f>
        <v>0</v>
      </c>
      <c r="H30" s="51"/>
    </row>
    <row r="31" spans="2:16106" x14ac:dyDescent="0.15">
      <c r="C31" s="58"/>
      <c r="D31" s="59"/>
      <c r="E31" s="59"/>
      <c r="F31" s="60" t="s">
        <v>38</v>
      </c>
      <c r="G31" s="61">
        <f>ROUND(G27+G30,0)</f>
        <v>0</v>
      </c>
      <c r="H31" s="62"/>
    </row>
    <row r="32" spans="2:16106" x14ac:dyDescent="0.15">
      <c r="C32" s="63"/>
      <c r="D32" s="64"/>
      <c r="E32" s="64"/>
      <c r="F32" s="60" t="s">
        <v>39</v>
      </c>
      <c r="G32" s="61">
        <f>ROUND(G31*36,0)</f>
        <v>0</v>
      </c>
      <c r="H32" s="62"/>
    </row>
    <row r="33" spans="3:9" s="66" customFormat="1" ht="12" customHeight="1" x14ac:dyDescent="0.2">
      <c r="C33" s="65" t="s">
        <v>40</v>
      </c>
      <c r="H33" s="67"/>
    </row>
    <row r="34" spans="3:9" s="66" customFormat="1" ht="12" customHeight="1" x14ac:dyDescent="0.2">
      <c r="C34" s="65" t="s">
        <v>41</v>
      </c>
      <c r="H34" s="67"/>
    </row>
    <row r="35" spans="3:9" s="66" customFormat="1" ht="12" customHeight="1" x14ac:dyDescent="0.2">
      <c r="C35" s="65" t="s">
        <v>42</v>
      </c>
      <c r="H35" s="67"/>
    </row>
    <row r="36" spans="3:9" ht="6" customHeight="1" x14ac:dyDescent="0.15">
      <c r="C36" s="21"/>
      <c r="H36" s="19"/>
    </row>
    <row r="37" spans="3:9" x14ac:dyDescent="0.15">
      <c r="C37" s="68" t="s">
        <v>43</v>
      </c>
      <c r="H37" s="19"/>
    </row>
    <row r="38" spans="3:9" ht="28.5" customHeight="1" x14ac:dyDescent="0.15">
      <c r="C38" s="69" t="s">
        <v>44</v>
      </c>
      <c r="D38" s="70" t="s">
        <v>45</v>
      </c>
      <c r="E38" s="71"/>
      <c r="F38" s="72"/>
      <c r="G38" s="73" t="s">
        <v>46</v>
      </c>
      <c r="H38" s="74" t="s">
        <v>47</v>
      </c>
      <c r="I38" s="75"/>
    </row>
    <row r="39" spans="3:9" ht="16.5" customHeight="1" x14ac:dyDescent="0.15">
      <c r="C39" s="76">
        <v>1</v>
      </c>
      <c r="D39" s="77" t="s">
        <v>48</v>
      </c>
      <c r="E39" s="78"/>
      <c r="F39" s="79"/>
      <c r="G39" s="80"/>
      <c r="H39" s="81" t="s">
        <v>49</v>
      </c>
      <c r="I39" s="82"/>
    </row>
    <row r="40" spans="3:9" x14ac:dyDescent="0.15">
      <c r="C40" s="83">
        <v>2</v>
      </c>
      <c r="D40" s="77" t="s">
        <v>50</v>
      </c>
      <c r="E40" s="78"/>
      <c r="F40" s="79"/>
      <c r="G40" s="80"/>
      <c r="H40" s="84"/>
      <c r="I40" s="82"/>
    </row>
    <row r="41" spans="3:9" x14ac:dyDescent="0.15">
      <c r="C41" s="83">
        <v>3</v>
      </c>
      <c r="D41" s="85" t="s">
        <v>51</v>
      </c>
      <c r="E41" s="86"/>
      <c r="F41" s="87"/>
      <c r="G41" s="80"/>
      <c r="H41" s="88"/>
      <c r="I41" s="82"/>
    </row>
    <row r="42" spans="3:9" x14ac:dyDescent="0.15">
      <c r="C42" s="89"/>
      <c r="D42" s="90"/>
      <c r="E42" s="90"/>
      <c r="F42" s="91" t="s">
        <v>52</v>
      </c>
      <c r="G42" s="92"/>
      <c r="H42" s="93"/>
      <c r="I42" s="94"/>
    </row>
    <row r="43" spans="3:9" ht="60" x14ac:dyDescent="0.15">
      <c r="C43" s="95"/>
      <c r="D43" s="96"/>
      <c r="E43" s="97"/>
      <c r="F43" s="97" t="s">
        <v>53</v>
      </c>
      <c r="G43" s="98"/>
      <c r="H43" s="99" t="s">
        <v>54</v>
      </c>
      <c r="I43" s="100"/>
    </row>
    <row r="44" spans="3:9" x14ac:dyDescent="0.15">
      <c r="C44" s="89"/>
      <c r="D44" s="101"/>
      <c r="E44" s="91"/>
      <c r="F44" s="91" t="s">
        <v>55</v>
      </c>
      <c r="G44" s="102"/>
      <c r="H44" s="93"/>
      <c r="I44" s="94"/>
    </row>
    <row r="45" spans="3:9" x14ac:dyDescent="0.15">
      <c r="C45" s="103" t="s">
        <v>41</v>
      </c>
    </row>
    <row r="46" spans="3:9" ht="7" customHeight="1" x14ac:dyDescent="0.15">
      <c r="G46" s="104"/>
      <c r="H46" s="104"/>
    </row>
    <row r="47" spans="3:9" ht="14.25" customHeight="1" x14ac:dyDescent="0.15"/>
    <row r="48" spans="3:9" ht="27.75" customHeight="1" x14ac:dyDescent="0.15">
      <c r="C48" s="105" t="s">
        <v>56</v>
      </c>
      <c r="D48" s="104"/>
      <c r="E48" s="104"/>
      <c r="F48" s="104"/>
    </row>
    <row r="49" spans="3:9" x14ac:dyDescent="0.15">
      <c r="C49" s="1" t="s">
        <v>57</v>
      </c>
      <c r="E49" s="106"/>
      <c r="I49" s="107"/>
    </row>
    <row r="50" spans="3:9" x14ac:dyDescent="0.15">
      <c r="E50" s="106"/>
      <c r="I50" s="107"/>
    </row>
    <row r="52" spans="3:9" ht="16.5" customHeight="1" x14ac:dyDescent="0.15">
      <c r="C52" s="108"/>
      <c r="E52" s="106"/>
    </row>
    <row r="53" spans="3:9" x14ac:dyDescent="0.15">
      <c r="C53" s="107" t="s">
        <v>58</v>
      </c>
      <c r="D53" s="107"/>
      <c r="E53" s="109"/>
    </row>
    <row r="54" spans="3:9" ht="16.5" customHeight="1" x14ac:dyDescent="0.15">
      <c r="C54" s="1" t="s">
        <v>59</v>
      </c>
      <c r="E54" s="106"/>
    </row>
    <row r="55" spans="3:9" ht="5" customHeight="1" x14ac:dyDescent="0.15"/>
  </sheetData>
  <mergeCells count="15">
    <mergeCell ref="G29:H29"/>
    <mergeCell ref="G30:H30"/>
    <mergeCell ref="G31:H31"/>
    <mergeCell ref="G32:H32"/>
    <mergeCell ref="D38:E38"/>
    <mergeCell ref="D39:E39"/>
    <mergeCell ref="H39:H41"/>
    <mergeCell ref="D40:E40"/>
    <mergeCell ref="D41:E41"/>
    <mergeCell ref="C9:E9"/>
    <mergeCell ref="E22:F22"/>
    <mergeCell ref="G25:H25"/>
    <mergeCell ref="G26:H26"/>
    <mergeCell ref="G27:H27"/>
    <mergeCell ref="G28:H2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Template BOQ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DELLA KHAIRUNNISA</dc:creator>
  <cp:lastModifiedBy>DELLA KHAIRUNNISA</cp:lastModifiedBy>
  <dcterms:created xsi:type="dcterms:W3CDTF">2026-01-22T02:48:11Z</dcterms:created>
  <dcterms:modified xsi:type="dcterms:W3CDTF">2026-01-22T02:48:39Z</dcterms:modified>
</cp:coreProperties>
</file>